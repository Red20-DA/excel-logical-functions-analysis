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bhi\Downloads\"/>
    </mc:Choice>
  </mc:AlternateContent>
  <xr:revisionPtr revIDLastSave="0" documentId="13_ncr:1_{DE97A1A3-6D49-4361-9BB2-300E95338CD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  <sheet name="Questions" sheetId="2" r:id="rId2"/>
    <sheet name="Functions Used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" l="1"/>
  <c r="K6" i="1"/>
  <c r="E18" i="1"/>
  <c r="L6" i="1"/>
  <c r="J6" i="1"/>
  <c r="P6" i="1"/>
  <c r="P7" i="1"/>
  <c r="P8" i="1"/>
  <c r="P9" i="1"/>
  <c r="P10" i="1"/>
  <c r="I6" i="1"/>
  <c r="F16" i="1"/>
  <c r="K7" i="1"/>
  <c r="K8" i="1"/>
  <c r="K9" i="1"/>
  <c r="K10" i="1"/>
  <c r="J7" i="1"/>
  <c r="J8" i="1"/>
  <c r="J9" i="1"/>
  <c r="J10" i="1"/>
  <c r="E16" i="1"/>
  <c r="E17" i="1"/>
  <c r="E19" i="1"/>
  <c r="M7" i="1"/>
  <c r="M8" i="1"/>
  <c r="M9" i="1"/>
  <c r="M10" i="1"/>
  <c r="L7" i="1"/>
  <c r="L8" i="1"/>
  <c r="L9" i="1"/>
  <c r="L10" i="1"/>
  <c r="I7" i="1"/>
  <c r="I8" i="1"/>
  <c r="I9" i="1"/>
  <c r="I10" i="1"/>
  <c r="Q7" i="1"/>
  <c r="Q8" i="1"/>
  <c r="Q9" i="1"/>
  <c r="Q10" i="1"/>
  <c r="Q6" i="1"/>
  <c r="O7" i="1"/>
  <c r="O10" i="1"/>
  <c r="O8" i="1"/>
  <c r="O9" i="1"/>
  <c r="O6" i="1"/>
  <c r="N8" i="1"/>
  <c r="N9" i="1"/>
  <c r="N10" i="1"/>
  <c r="N7" i="1"/>
  <c r="N6" i="1"/>
</calcChain>
</file>

<file path=xl/sharedStrings.xml><?xml version="1.0" encoding="utf-8"?>
<sst xmlns="http://schemas.openxmlformats.org/spreadsheetml/2006/main" count="72" uniqueCount="68">
  <si>
    <t>ID</t>
  </si>
  <si>
    <t>Name</t>
  </si>
  <si>
    <t>Email</t>
  </si>
  <si>
    <t>City</t>
  </si>
  <si>
    <t>Salary</t>
  </si>
  <si>
    <t>Department</t>
  </si>
  <si>
    <t>Joining_Date</t>
  </si>
  <si>
    <t>Sales</t>
  </si>
  <si>
    <t>John Doe</t>
  </si>
  <si>
    <t>john@gmail.com</t>
  </si>
  <si>
    <t>Ahmedabad</t>
  </si>
  <si>
    <t>2022-01-15</t>
  </si>
  <si>
    <t>Priya Shah</t>
  </si>
  <si>
    <t>priya@yahoo.com</t>
  </si>
  <si>
    <t>Mumbai</t>
  </si>
  <si>
    <t>HR</t>
  </si>
  <si>
    <t>2021-07-10</t>
  </si>
  <si>
    <t>Rahul Mehta</t>
  </si>
  <si>
    <t>rahul@outlook.com</t>
  </si>
  <si>
    <t>Delhi</t>
  </si>
  <si>
    <t>IT</t>
  </si>
  <si>
    <t>2020-03-25</t>
  </si>
  <si>
    <t>Ankit Patel</t>
  </si>
  <si>
    <t>ankit@gmail.com</t>
  </si>
  <si>
    <t>2023-06-01</t>
  </si>
  <si>
    <t>Sara Khan</t>
  </si>
  <si>
    <t>sara@yahoo.com</t>
  </si>
  <si>
    <t>Pune</t>
  </si>
  <si>
    <t>Finance</t>
  </si>
  <si>
    <t>2019-11-20</t>
  </si>
  <si>
    <t>TEXT FUNCTIONS:</t>
  </si>
  <si>
    <t>1. Extract First Name</t>
  </si>
  <si>
    <t>2. Extract Email Domain</t>
  </si>
  <si>
    <t>3. Convert Name to UPPERCASE</t>
  </si>
  <si>
    <t>4. Count characters in Name</t>
  </si>
  <si>
    <t>MATH FUNCTIONS:</t>
  </si>
  <si>
    <t>5. Total Salary</t>
  </si>
  <si>
    <t>6. Average Salary</t>
  </si>
  <si>
    <t>7. Max Salary</t>
  </si>
  <si>
    <t>8. Min Salary</t>
  </si>
  <si>
    <t>LOGICAL FUNCTIONS:</t>
  </si>
  <si>
    <t>9. IF Salary &gt;50000 High/Low</t>
  </si>
  <si>
    <t>10. AND Salary&gt;50000 and City=Ahmedabad</t>
  </si>
  <si>
    <t>11. OR City Mumbai or Delhi</t>
  </si>
  <si>
    <t>DATE FUNCTIONS:</t>
  </si>
  <si>
    <t>12. Extract Year from Joining Date</t>
  </si>
  <si>
    <t>13. Extract Month</t>
  </si>
  <si>
    <t>CONDITIONAL:</t>
  </si>
  <si>
    <t>15. Count employees in Sales department</t>
  </si>
  <si>
    <t>First name</t>
  </si>
  <si>
    <t>Domain</t>
  </si>
  <si>
    <t>Salary high/low</t>
  </si>
  <si>
    <t>City based on salary</t>
  </si>
  <si>
    <t>mumbai or delhi</t>
  </si>
  <si>
    <t>Total salary</t>
  </si>
  <si>
    <t>Average salary</t>
  </si>
  <si>
    <t>Max salary</t>
  </si>
  <si>
    <t>Min Salary</t>
  </si>
  <si>
    <t>Joining year</t>
  </si>
  <si>
    <t>Joining_Month</t>
  </si>
  <si>
    <t>Uppercase Name</t>
  </si>
  <si>
    <t>Name Length</t>
  </si>
  <si>
    <t>Conditional formatting</t>
  </si>
  <si>
    <t xml:space="preserve"> </t>
  </si>
  <si>
    <r>
      <t>UPPER()</t>
    </r>
    <r>
      <rPr>
        <sz val="11"/>
        <color theme="1"/>
        <rFont val="Calibri"/>
        <family val="2"/>
        <scheme val="minor"/>
      </rPr>
      <t xml:space="preserve"> → Convert name to uppercase</t>
    </r>
  </si>
  <si>
    <r>
      <t>LEN()</t>
    </r>
    <r>
      <rPr>
        <sz val="11"/>
        <color theme="1"/>
        <rFont val="Calibri"/>
        <family val="2"/>
        <scheme val="minor"/>
      </rPr>
      <t xml:space="preserve"> → Count characters</t>
    </r>
  </si>
  <si>
    <r>
      <t>RIGHT()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MID()</t>
    </r>
    <r>
      <rPr>
        <sz val="11"/>
        <color theme="1"/>
        <rFont val="Calibri"/>
        <family val="2"/>
        <scheme val="minor"/>
      </rPr>
      <t xml:space="preserve"> → Extract domain</t>
    </r>
  </si>
  <si>
    <t>Excel Data Cleaning &amp; Text Functions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</si>
</sst>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1" fillId="0" borderId="2" xfId="0" applyFont="1" applyBorder="1"/>
    <xf numFmtId="0" fontId="2" fillId="2" borderId="1" xfId="0" applyFont="1" applyFill="1" applyBorder="1" applyAlignment="1">
      <alignment horizontal="center" vertical="center"/>
    </xf>
    <xf numFmtId="0" fontId="0" fillId="0" borderId="3" xfId="0" applyBorder="1"/>
    <xf numFmtId="0" fontId="0" fillId="0" borderId="8" xfId="0" applyBorder="1"/>
    <xf numFmtId="0" fontId="0" fillId="0" borderId="9" xfId="0" applyBorder="1"/>
    <xf numFmtId="0" fontId="0" fillId="0" borderId="1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1" fillId="0" borderId="3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9" xfId="0" applyFont="1" applyBorder="1"/>
    <xf numFmtId="0" fontId="4" fillId="0" borderId="0" xfId="0" applyFont="1"/>
  </cellXfs>
  <cellStyles count="1">
    <cellStyle name="Normal" xfId="0" builtinId="0"/>
  </cellStyles>
  <dxfs count="30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807214-BF2C-46A0-8DA8-A4A066EF6206}" name="Table1" displayName="Table1" ref="A5:Q10" totalsRowShown="0" headerRowDxfId="12" headerRowBorderDxfId="28" tableBorderDxfId="29" totalsRowBorderDxfId="27">
  <autoFilter ref="A5:Q10" xr:uid="{0A807214-BF2C-46A0-8DA8-A4A066EF6206}"/>
  <tableColumns count="17">
    <tableColumn id="1" xr3:uid="{8B55788E-A7BE-4A99-A310-E80581AFD445}" name="ID" dataDxfId="10"/>
    <tableColumn id="2" xr3:uid="{9DD219C2-9BF5-4E29-97A3-423BADA88C9D}" name="Name" dataDxfId="11"/>
    <tableColumn id="3" xr3:uid="{270C4E3B-C7D3-4309-AB6B-91047023A93B}" name="Email" dataDxfId="26"/>
    <tableColumn id="4" xr3:uid="{9C4BD06F-AE84-4D57-ABDB-FA4B08FCB8DF}" name="City" dataDxfId="25"/>
    <tableColumn id="5" xr3:uid="{59C7B40D-6ACC-4184-86E3-A6D303AEE778}" name="Salary" dataDxfId="24"/>
    <tableColumn id="6" xr3:uid="{AA275747-93F7-475D-8E10-6D94250F7AC4}" name="Department" dataDxfId="23"/>
    <tableColumn id="7" xr3:uid="{B7F45235-CD27-43E6-BCF2-906B05AA7E6D}" name="Joining_Date" dataDxfId="22"/>
    <tableColumn id="8" xr3:uid="{B0F2BE80-3A6F-4552-ADC4-AABDA1E669A7}" name="Sales" dataDxfId="21"/>
    <tableColumn id="9" xr3:uid="{319A6027-A780-4E3D-B101-4B5E3981F43B}" name="Salary high/low" dataDxfId="20">
      <calculatedColumnFormula>IF(E6&gt;=50000,"High","Low")</calculatedColumnFormula>
    </tableColumn>
    <tableColumn id="10" xr3:uid="{B20892DF-CF21-48D1-AC1B-9315EAE29591}" name="Joining year" dataDxfId="19">
      <calculatedColumnFormula>YEAR(G6)</calculatedColumnFormula>
    </tableColumn>
    <tableColumn id="11" xr3:uid="{8EBD3E55-55FA-4294-AEE1-3DF9214EF2BA}" name="Joining_Month" dataDxfId="18">
      <calculatedColumnFormula>MONTH(G6)</calculatedColumnFormula>
    </tableColumn>
    <tableColumn id="12" xr3:uid="{F04ED09C-65CD-45DE-99DC-A0F7CD1EE967}" name="City based on salary" dataDxfId="17">
      <calculatedColumnFormula>IF(AND(E6&gt;50000,D6="Ahmedabad"),"True","False")</calculatedColumnFormula>
    </tableColumn>
    <tableColumn id="13" xr3:uid="{79949B7F-531D-4F5A-9542-69D08953961C}" name="mumbai or delhi" dataDxfId="16">
      <calculatedColumnFormula>IF(OR(D6="Mumbai",D6="Delhi"),"Yes","No")</calculatedColumnFormula>
    </tableColumn>
    <tableColumn id="14" xr3:uid="{FCC7DD8F-B04D-4445-9CE3-27A6882999BE}" name="First name" dataDxfId="15">
      <calculatedColumnFormula>LEFT(B6,5)</calculatedColumnFormula>
    </tableColumn>
    <tableColumn id="15" xr3:uid="{412A299E-B39A-427E-BC62-387CB08C6A63}" name="Domain" dataDxfId="14"/>
    <tableColumn id="16" xr3:uid="{4E6062E8-BDCF-4E7A-9B35-1E0D83F0121D}" name="Uppercase Name" dataDxfId="0">
      <calculatedColumnFormula>UPPER(B6)</calculatedColumnFormula>
    </tableColumn>
    <tableColumn id="17" xr3:uid="{EB13B946-D670-45CE-ADEA-5E4B0ED804A7}" name="Name Length" dataDxfId="13">
      <calculatedColumnFormula>LEN(B6)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BCA7FD7-DA40-4D58-95AA-99F741A2DDC4}" name="Table3" displayName="Table3" ref="D15:E19" totalsRowShown="0" headerRowDxfId="4" headerRowBorderDxfId="8" tableBorderDxfId="9" totalsRowBorderDxfId="7">
  <autoFilter ref="D15:E19" xr:uid="{EBCA7FD7-DA40-4D58-95AA-99F741A2DDC4}"/>
  <tableColumns count="2">
    <tableColumn id="1" xr3:uid="{A08E3167-D1D0-498A-9631-E88FAA4E8E9B}" name="Salary" dataDxfId="6"/>
    <tableColumn id="2" xr3:uid="{7D9E4298-33A2-463E-8D9C-CB912B914F97}" name=" " dataDxfId="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2CAC240-E9F2-4EBD-9258-37C4577EA6A0}" name="Table4" displayName="Table4" ref="F15:F16" totalsRowShown="0" dataDxfId="1" tableBorderDxfId="3">
  <autoFilter ref="F15:F16" xr:uid="{22CAC240-E9F2-4EBD-9258-37C4577EA6A0}"/>
  <tableColumns count="1">
    <tableColumn id="1" xr3:uid="{C7C4659C-920E-4CDD-92AE-9C21886263EA}" name="Conditional formatting" dataDxfId="2">
      <calculatedColumnFormula>COUNTIF(F6:F10,"Sales")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"/>
  <sheetViews>
    <sheetView tabSelected="1" topLeftCell="B1" zoomScale="74" zoomScaleNormal="85" workbookViewId="0">
      <selection activeCell="K25" sqref="K25"/>
    </sheetView>
  </sheetViews>
  <sheetFormatPr defaultRowHeight="14.4"/>
  <cols>
    <col min="1" max="1" width="10.109375" customWidth="1"/>
    <col min="2" max="2" width="11.33203125" bestFit="1" customWidth="1"/>
    <col min="3" max="3" width="17.5546875" bestFit="1" customWidth="1"/>
    <col min="4" max="4" width="13.5546875" bestFit="1" customWidth="1"/>
    <col min="5" max="5" width="17.21875" customWidth="1"/>
    <col min="6" max="6" width="22.21875" bestFit="1" customWidth="1"/>
    <col min="7" max="7" width="17.109375" customWidth="1"/>
    <col min="8" max="8" width="11.6640625" customWidth="1"/>
    <col min="9" max="9" width="21" customWidth="1"/>
    <col min="10" max="10" width="16.44140625" customWidth="1"/>
    <col min="11" max="11" width="18.88671875" customWidth="1"/>
    <col min="12" max="12" width="22.21875" customWidth="1"/>
    <col min="13" max="13" width="20.6640625" customWidth="1"/>
    <col min="14" max="14" width="13.44140625" customWidth="1"/>
    <col min="15" max="15" width="14" customWidth="1"/>
    <col min="16" max="16" width="17.88671875" customWidth="1"/>
    <col min="17" max="17" width="13.88671875" customWidth="1"/>
  </cols>
  <sheetData>
    <row r="1" spans="1:17" ht="14.4" customHeight="1">
      <c r="A1" s="3" t="s">
        <v>67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ht="14.4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ht="14.4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5" spans="1:17">
      <c r="A5" s="12" t="s">
        <v>0</v>
      </c>
      <c r="B5" s="13" t="s">
        <v>1</v>
      </c>
      <c r="C5" s="13" t="s">
        <v>2</v>
      </c>
      <c r="D5" s="13" t="s">
        <v>3</v>
      </c>
      <c r="E5" s="13" t="s">
        <v>4</v>
      </c>
      <c r="F5" s="13" t="s">
        <v>5</v>
      </c>
      <c r="G5" s="13" t="s">
        <v>6</v>
      </c>
      <c r="H5" s="13" t="s">
        <v>7</v>
      </c>
      <c r="I5" s="13" t="s">
        <v>51</v>
      </c>
      <c r="J5" s="13" t="s">
        <v>58</v>
      </c>
      <c r="K5" s="13" t="s">
        <v>59</v>
      </c>
      <c r="L5" s="13" t="s">
        <v>52</v>
      </c>
      <c r="M5" s="13" t="s">
        <v>53</v>
      </c>
      <c r="N5" s="13" t="s">
        <v>49</v>
      </c>
      <c r="O5" s="13" t="s">
        <v>50</v>
      </c>
      <c r="P5" s="13" t="s">
        <v>60</v>
      </c>
      <c r="Q5" s="14" t="s">
        <v>61</v>
      </c>
    </row>
    <row r="6" spans="1:17">
      <c r="A6" s="10">
        <v>1</v>
      </c>
      <c r="B6" s="7" t="s">
        <v>8</v>
      </c>
      <c r="C6" s="1" t="s">
        <v>9</v>
      </c>
      <c r="D6" s="1" t="s">
        <v>10</v>
      </c>
      <c r="E6" s="1">
        <v>55000</v>
      </c>
      <c r="F6" s="1" t="s">
        <v>7</v>
      </c>
      <c r="G6" s="1" t="s">
        <v>11</v>
      </c>
      <c r="H6" s="1">
        <v>1200</v>
      </c>
      <c r="I6" s="1" t="str">
        <f>IF(E6&gt;=50000,"High","Low")</f>
        <v>High</v>
      </c>
      <c r="J6" s="1">
        <f>YEAR(G6)</f>
        <v>2022</v>
      </c>
      <c r="K6" s="1">
        <f>MONTH(G6)</f>
        <v>1</v>
      </c>
      <c r="L6" s="1" t="str">
        <f>IF(AND(E6&gt;50000,D6="Ahmedabad"),"True","False")</f>
        <v>True</v>
      </c>
      <c r="M6" s="1" t="str">
        <f>IF(OR(D6="Mumbai",D6="Delhi"),"Yes","No")</f>
        <v>No</v>
      </c>
      <c r="N6" s="1" t="str">
        <f>LEFT(B6,4)</f>
        <v>John</v>
      </c>
      <c r="O6" s="1" t="str">
        <f>MID(C6,6,5)</f>
        <v>gmail</v>
      </c>
      <c r="P6" s="1" t="str">
        <f>UPPER(B6)</f>
        <v>JOHN DOE</v>
      </c>
      <c r="Q6" s="4">
        <f>LEN(B6)</f>
        <v>8</v>
      </c>
    </row>
    <row r="7" spans="1:17">
      <c r="A7" s="10">
        <v>2</v>
      </c>
      <c r="B7" s="7" t="s">
        <v>12</v>
      </c>
      <c r="C7" s="1" t="s">
        <v>13</v>
      </c>
      <c r="D7" s="1" t="s">
        <v>14</v>
      </c>
      <c r="E7" s="1">
        <v>45000</v>
      </c>
      <c r="F7" s="1" t="s">
        <v>15</v>
      </c>
      <c r="G7" s="1" t="s">
        <v>16</v>
      </c>
      <c r="H7" s="1">
        <v>800</v>
      </c>
      <c r="I7" s="1" t="str">
        <f t="shared" ref="I7:I10" si="0">IF(E7&gt;=50000,"High","Low")</f>
        <v>Low</v>
      </c>
      <c r="J7" s="1">
        <f t="shared" ref="J7:J10" si="1">YEAR(G7)</f>
        <v>2021</v>
      </c>
      <c r="K7" s="1">
        <f t="shared" ref="K7:K10" si="2">MONTH(G7)</f>
        <v>7</v>
      </c>
      <c r="L7" s="1" t="str">
        <f t="shared" ref="L7:L10" si="3">IF(AND(E7&gt;50000,D7="Ahmedabad"),"True","False")</f>
        <v>False</v>
      </c>
      <c r="M7" s="1" t="str">
        <f>IF(OR(D7="Mumbai",D7="Delhi"),"Yes","No")</f>
        <v>Yes</v>
      </c>
      <c r="N7" s="1" t="str">
        <f>LEFT(B7,5)</f>
        <v>Priya</v>
      </c>
      <c r="O7" s="1" t="str">
        <f>MID(C7,7,5)</f>
        <v>yahoo</v>
      </c>
      <c r="P7" s="1" t="str">
        <f t="shared" ref="P7:P10" si="4">UPPER(B7)</f>
        <v>PRIYA SHAH</v>
      </c>
      <c r="Q7" s="4">
        <f t="shared" ref="Q7:Q10" si="5">LEN(B7)</f>
        <v>10</v>
      </c>
    </row>
    <row r="8" spans="1:17">
      <c r="A8" s="10">
        <v>3</v>
      </c>
      <c r="B8" s="7" t="s">
        <v>17</v>
      </c>
      <c r="C8" s="1" t="s">
        <v>18</v>
      </c>
      <c r="D8" s="1" t="s">
        <v>19</v>
      </c>
      <c r="E8" s="1">
        <v>70000</v>
      </c>
      <c r="F8" s="1" t="s">
        <v>20</v>
      </c>
      <c r="G8" s="1" t="s">
        <v>21</v>
      </c>
      <c r="H8" s="1">
        <v>1500</v>
      </c>
      <c r="I8" s="1" t="str">
        <f t="shared" si="0"/>
        <v>High</v>
      </c>
      <c r="J8" s="1">
        <f t="shared" si="1"/>
        <v>2020</v>
      </c>
      <c r="K8" s="1">
        <f t="shared" si="2"/>
        <v>3</v>
      </c>
      <c r="L8" s="1" t="str">
        <f t="shared" si="3"/>
        <v>False</v>
      </c>
      <c r="M8" s="1" t="str">
        <f>IF(OR(D8="Mumbai",D8="Delhi"),"Yes","No")</f>
        <v>Yes</v>
      </c>
      <c r="N8" s="1" t="str">
        <f t="shared" ref="N8:N10" si="6">LEFT(B8,5)</f>
        <v>Rahul</v>
      </c>
      <c r="O8" s="1" t="str">
        <f>MID(C8,7,7)</f>
        <v>outlook</v>
      </c>
      <c r="P8" s="1" t="str">
        <f t="shared" si="4"/>
        <v>RAHUL MEHTA</v>
      </c>
      <c r="Q8" s="4">
        <f t="shared" si="5"/>
        <v>11</v>
      </c>
    </row>
    <row r="9" spans="1:17">
      <c r="A9" s="10">
        <v>4</v>
      </c>
      <c r="B9" s="7" t="s">
        <v>22</v>
      </c>
      <c r="C9" s="1" t="s">
        <v>23</v>
      </c>
      <c r="D9" s="1" t="s">
        <v>10</v>
      </c>
      <c r="E9" s="1">
        <v>30000</v>
      </c>
      <c r="F9" s="1" t="s">
        <v>7</v>
      </c>
      <c r="G9" s="1" t="s">
        <v>24</v>
      </c>
      <c r="H9" s="1">
        <v>400</v>
      </c>
      <c r="I9" s="1" t="str">
        <f t="shared" si="0"/>
        <v>Low</v>
      </c>
      <c r="J9" s="1">
        <f t="shared" si="1"/>
        <v>2023</v>
      </c>
      <c r="K9" s="1">
        <f t="shared" si="2"/>
        <v>6</v>
      </c>
      <c r="L9" s="1" t="str">
        <f t="shared" si="3"/>
        <v>False</v>
      </c>
      <c r="M9" s="1" t="str">
        <f>IF(OR(D9="Mumbai",D9="Delhi"),"Yes","No")</f>
        <v>No</v>
      </c>
      <c r="N9" s="1" t="str">
        <f t="shared" si="6"/>
        <v>Ankit</v>
      </c>
      <c r="O9" s="1" t="str">
        <f>MID(C9,7,5)</f>
        <v>gmail</v>
      </c>
      <c r="P9" s="1" t="str">
        <f t="shared" si="4"/>
        <v>ANKIT PATEL</v>
      </c>
      <c r="Q9" s="4">
        <f t="shared" si="5"/>
        <v>11</v>
      </c>
    </row>
    <row r="10" spans="1:17">
      <c r="A10" s="11">
        <v>5</v>
      </c>
      <c r="B10" s="8" t="s">
        <v>25</v>
      </c>
      <c r="C10" s="5" t="s">
        <v>26</v>
      </c>
      <c r="D10" s="5" t="s">
        <v>27</v>
      </c>
      <c r="E10" s="5">
        <v>60000</v>
      </c>
      <c r="F10" s="5" t="s">
        <v>28</v>
      </c>
      <c r="G10" s="5" t="s">
        <v>29</v>
      </c>
      <c r="H10" s="5">
        <v>2000</v>
      </c>
      <c r="I10" s="5" t="str">
        <f t="shared" si="0"/>
        <v>High</v>
      </c>
      <c r="J10" s="5">
        <f t="shared" si="1"/>
        <v>2019</v>
      </c>
      <c r="K10" s="5">
        <f t="shared" si="2"/>
        <v>11</v>
      </c>
      <c r="L10" s="5" t="str">
        <f t="shared" si="3"/>
        <v>False</v>
      </c>
      <c r="M10" s="5" t="str">
        <f>IF(OR(D10="Mumbai",D10="Delhi"),"Yes","No")</f>
        <v>No</v>
      </c>
      <c r="N10" s="5" t="str">
        <f t="shared" si="6"/>
        <v xml:space="preserve">Sara </v>
      </c>
      <c r="O10" s="5" t="str">
        <f>MID(C10,6,5)</f>
        <v>yahoo</v>
      </c>
      <c r="P10" s="5" t="str">
        <f t="shared" si="4"/>
        <v>SARA KHAN</v>
      </c>
      <c r="Q10" s="6">
        <f t="shared" si="5"/>
        <v>9</v>
      </c>
    </row>
    <row r="11" spans="1:17">
      <c r="B11" s="9"/>
    </row>
    <row r="15" spans="1:17">
      <c r="D15" s="16" t="s">
        <v>4</v>
      </c>
      <c r="E15" s="17" t="s">
        <v>63</v>
      </c>
      <c r="F15" t="s">
        <v>62</v>
      </c>
    </row>
    <row r="16" spans="1:17">
      <c r="D16" s="2" t="s">
        <v>54</v>
      </c>
      <c r="E16" s="15">
        <f>SUM(E6:E10)</f>
        <v>260000</v>
      </c>
      <c r="F16" s="18">
        <f>COUNTIF(F6:F10,"Sales")</f>
        <v>2</v>
      </c>
    </row>
    <row r="17" spans="4:5">
      <c r="D17" s="2" t="s">
        <v>55</v>
      </c>
      <c r="E17" s="15">
        <f>AVERAGE(E6:E10)</f>
        <v>52000</v>
      </c>
    </row>
    <row r="18" spans="4:5">
      <c r="D18" s="2" t="s">
        <v>56</v>
      </c>
      <c r="E18" s="15">
        <f>MAX(E6:E10)</f>
        <v>70000</v>
      </c>
    </row>
    <row r="19" spans="4:5">
      <c r="D19" s="18" t="s">
        <v>57</v>
      </c>
      <c r="E19" s="19">
        <f>MIN(E6:E10)</f>
        <v>30000</v>
      </c>
    </row>
  </sheetData>
  <mergeCells count="1">
    <mergeCell ref="A1:Q3"/>
  </mergeCells>
  <pageMargins left="0.75" right="0.75" top="1" bottom="1" header="0.5" footer="0.5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3"/>
  <sheetViews>
    <sheetView workbookViewId="0">
      <selection activeCell="A26" sqref="A26"/>
    </sheetView>
  </sheetViews>
  <sheetFormatPr defaultRowHeight="14.4"/>
  <cols>
    <col min="1" max="1" width="37.33203125" bestFit="1" customWidth="1"/>
  </cols>
  <sheetData>
    <row r="1" spans="1:1">
      <c r="A1" t="s">
        <v>30</v>
      </c>
    </row>
    <row r="2" spans="1:1">
      <c r="A2" t="s">
        <v>31</v>
      </c>
    </row>
    <row r="3" spans="1:1">
      <c r="A3" t="s">
        <v>32</v>
      </c>
    </row>
    <row r="4" spans="1:1">
      <c r="A4" t="s">
        <v>33</v>
      </c>
    </row>
    <row r="5" spans="1:1">
      <c r="A5" t="s">
        <v>34</v>
      </c>
    </row>
    <row r="7" spans="1:1">
      <c r="A7" t="s">
        <v>35</v>
      </c>
    </row>
    <row r="8" spans="1:1">
      <c r="A8" t="s">
        <v>36</v>
      </c>
    </row>
    <row r="9" spans="1:1">
      <c r="A9" t="s">
        <v>37</v>
      </c>
    </row>
    <row r="10" spans="1:1">
      <c r="A10" t="s">
        <v>38</v>
      </c>
    </row>
    <row r="11" spans="1:1">
      <c r="A11" t="s">
        <v>39</v>
      </c>
    </row>
    <row r="13" spans="1:1">
      <c r="A13" t="s">
        <v>40</v>
      </c>
    </row>
    <row r="14" spans="1:1">
      <c r="A14" t="s">
        <v>41</v>
      </c>
    </row>
    <row r="15" spans="1:1">
      <c r="A15" t="s">
        <v>42</v>
      </c>
    </row>
    <row r="16" spans="1:1">
      <c r="A16" t="s">
        <v>43</v>
      </c>
    </row>
    <row r="18" spans="1:1">
      <c r="A18" t="s">
        <v>44</v>
      </c>
    </row>
    <row r="19" spans="1:1">
      <c r="A19" t="s">
        <v>45</v>
      </c>
    </row>
    <row r="20" spans="1:1">
      <c r="A20" t="s">
        <v>46</v>
      </c>
    </row>
    <row r="22" spans="1:1">
      <c r="A22" t="s">
        <v>47</v>
      </c>
    </row>
    <row r="23" spans="1:1">
      <c r="A23" t="s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FC2A4-0623-4CB0-9C4E-56A1D4BC7651}">
  <dimension ref="B2:B4"/>
  <sheetViews>
    <sheetView workbookViewId="0">
      <selection activeCell="C10" sqref="C10"/>
    </sheetView>
  </sheetViews>
  <sheetFormatPr defaultRowHeight="14.4"/>
  <cols>
    <col min="2" max="2" width="34.21875" bestFit="1" customWidth="1"/>
  </cols>
  <sheetData>
    <row r="2" spans="2:2">
      <c r="B2" s="20" t="s">
        <v>64</v>
      </c>
    </row>
    <row r="3" spans="2:2">
      <c r="B3" s="20" t="s">
        <v>65</v>
      </c>
    </row>
    <row r="4" spans="2:2">
      <c r="B4" s="20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Questions</vt:lpstr>
      <vt:lpstr>Functions Used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abhighagare150@gmail.com</cp:lastModifiedBy>
  <dcterms:created xsi:type="dcterms:W3CDTF">2026-04-14T16:18:51Z</dcterms:created>
  <dcterms:modified xsi:type="dcterms:W3CDTF">2026-04-16T17:57:25Z</dcterms:modified>
</cp:coreProperties>
</file>